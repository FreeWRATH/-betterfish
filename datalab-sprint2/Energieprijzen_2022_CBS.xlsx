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even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Gasprijs per maand in 2022 (euro per m3)</a:t>
            </a:r>
          </a:p>
        </rich>
      </tx>
    </title>
    <plotArea>
      <lineChart>
        <grouping val="standard"/>
        <ser>
          <idx val="0"/>
          <order val="0"/>
          <tx>
            <strRef>
              <f>'Tarieven 2022'!B4</f>
            </strRef>
          </tx>
          <spPr>
            <a:ln xmlns:a="http://schemas.openxmlformats.org/drawingml/2006/main">
              <a:solidFill>
                <a:srgbClr val="2F559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marker>
          <cat>
            <numRef>
              <f>'Tarieven 2022'!$A$5:$A$16</f>
            </numRef>
          </cat>
          <val>
            <numRef>
              <f>'Tarieven 2022'!$B$5:$B$16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Maand (2022)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 per m3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Stroomprijs per maand in 2022 (euro per kWh)</a:t>
            </a:r>
          </a:p>
        </rich>
      </tx>
    </title>
    <plotArea>
      <lineChart>
        <grouping val="standard"/>
        <ser>
          <idx val="0"/>
          <order val="0"/>
          <tx>
            <strRef>
              <f>'Tarieven 2022'!C4</f>
            </strRef>
          </tx>
          <spPr>
            <a:ln xmlns:a="http://schemas.openxmlformats.org/drawingml/2006/main">
              <a:solidFill>
                <a:srgbClr val="E8A33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8A33D"/>
              </a:solidFill>
              <a:ln xmlns:a="http://schemas.openxmlformats.org/drawingml/2006/main">
                <a:solidFill>
                  <a:srgbClr val="E8A33D"/>
                </a:solidFill>
                <a:prstDash val="solid"/>
              </a:ln>
            </spPr>
          </marker>
          <cat>
            <numRef>
              <f>'Tarieven 2022'!$A$5:$A$16</f>
            </numRef>
          </cat>
          <val>
            <numRef>
              <f>'Tarieven 2022'!$C$5:$C$16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Maand (2022)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 per kWh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</cols>
  <sheetData>
    <row r="1">
      <c r="A1" s="1" t="inlineStr">
        <is>
          <t>Gemiddeld variabel leveringstarief voor consumenten per maand, 2022 (incl. btw)</t>
        </is>
      </c>
    </row>
    <row r="2">
      <c r="A2" s="2" t="inlineStr">
        <is>
          <t>Bron: CBS StatLine, tabel 84672NED (Gemiddelde energietarieven voor consumenten, 2018-2023). Vanaf november 2022 nieuwe meetmethode CBS.</t>
        </is>
      </c>
    </row>
    <row r="4">
      <c r="A4" s="3" t="inlineStr">
        <is>
          <t>Maand</t>
        </is>
      </c>
      <c r="B4" s="3" t="inlineStr">
        <is>
          <t>Gas (euro per m3)</t>
        </is>
      </c>
      <c r="C4" s="3" t="inlineStr">
        <is>
          <t>Elektriciteit (euro per kWh)</t>
        </is>
      </c>
    </row>
    <row r="5">
      <c r="A5" s="4" t="inlineStr">
        <is>
          <t>januari</t>
        </is>
      </c>
      <c r="B5" s="5" t="n">
        <v>1.1956</v>
      </c>
      <c r="C5" s="5" t="n">
        <v>0.3169</v>
      </c>
    </row>
    <row r="6">
      <c r="A6" s="4" t="inlineStr">
        <is>
          <t>februari</t>
        </is>
      </c>
      <c r="B6" s="5" t="n">
        <v>1.1247</v>
      </c>
      <c r="C6" s="5" t="n">
        <v>0.2966</v>
      </c>
    </row>
    <row r="7">
      <c r="A7" s="4" t="inlineStr">
        <is>
          <t>maart</t>
        </is>
      </c>
      <c r="B7" s="5" t="n">
        <v>1.8451</v>
      </c>
      <c r="C7" s="5" t="n">
        <v>0.4814</v>
      </c>
    </row>
    <row r="8">
      <c r="A8" s="4" t="inlineStr">
        <is>
          <t>april</t>
        </is>
      </c>
      <c r="B8" s="5" t="n">
        <v>1.6844</v>
      </c>
      <c r="C8" s="5" t="n">
        <v>0.4363</v>
      </c>
    </row>
    <row r="9">
      <c r="A9" s="4" t="inlineStr">
        <is>
          <t>mei</t>
        </is>
      </c>
      <c r="B9" s="5" t="n">
        <v>1.422</v>
      </c>
      <c r="C9" s="5" t="n">
        <v>0.3613</v>
      </c>
    </row>
    <row r="10">
      <c r="A10" s="4" t="inlineStr">
        <is>
          <t>juni</t>
        </is>
      </c>
      <c r="B10" s="5" t="n">
        <v>1.2181</v>
      </c>
      <c r="C10" s="5" t="n">
        <v>0.3342</v>
      </c>
    </row>
    <row r="11">
      <c r="A11" s="4" t="inlineStr">
        <is>
          <t>juli</t>
        </is>
      </c>
      <c r="B11" s="5" t="n">
        <v>1.5908</v>
      </c>
      <c r="C11" s="5" t="n">
        <v>0.4187</v>
      </c>
    </row>
    <row r="12">
      <c r="A12" s="4" t="inlineStr">
        <is>
          <t>augustus</t>
        </is>
      </c>
      <c r="B12" s="5" t="n">
        <v>2.1147</v>
      </c>
      <c r="C12" s="5" t="n">
        <v>0.5028</v>
      </c>
    </row>
    <row r="13">
      <c r="A13" s="4" t="inlineStr">
        <is>
          <t>september</t>
        </is>
      </c>
      <c r="B13" s="5" t="n">
        <v>2.7706</v>
      </c>
      <c r="C13" s="5" t="n">
        <v>0.6439</v>
      </c>
    </row>
    <row r="14">
      <c r="A14" s="4" t="inlineStr">
        <is>
          <t>oktober</t>
        </is>
      </c>
      <c r="B14" s="5" t="n">
        <v>2.783</v>
      </c>
      <c r="C14" s="5" t="n">
        <v>0.6588000000000001</v>
      </c>
    </row>
    <row r="15">
      <c r="A15" s="4" t="inlineStr">
        <is>
          <t>november</t>
        </is>
      </c>
      <c r="B15" s="5" t="n">
        <v>1.8201</v>
      </c>
      <c r="C15" s="5" t="n">
        <v>0.5266</v>
      </c>
    </row>
    <row r="16">
      <c r="A16" s="4" t="inlineStr">
        <is>
          <t>december</t>
        </is>
      </c>
      <c r="B16" s="5" t="n">
        <v>1.8201</v>
      </c>
      <c r="C16" s="5" t="n">
        <v>0.52</v>
      </c>
    </row>
    <row r="17">
      <c r="A17" s="6" t="inlineStr">
        <is>
          <t>Gemiddelde</t>
        </is>
      </c>
      <c r="B17" s="7">
        <f>AVERAGE(B5:B16)</f>
        <v/>
      </c>
      <c r="C17" s="7">
        <f>AVERAGE(C5:C16)</f>
        <v/>
      </c>
    </row>
    <row r="18">
      <c r="A18" s="6" t="inlineStr">
        <is>
          <t>Hoogste</t>
        </is>
      </c>
      <c r="B18" s="7">
        <f>MAX(B5:B16)</f>
        <v/>
      </c>
      <c r="C18" s="7">
        <f>MAX(C5:C16)</f>
        <v/>
      </c>
    </row>
    <row r="19">
      <c r="A19" s="6" t="inlineStr">
        <is>
          <t>Laagste</t>
        </is>
      </c>
      <c r="B19" s="7">
        <f>MIN(B5:B16)</f>
        <v/>
      </c>
      <c r="C19" s="7">
        <f>MIN(C5:C16)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2026-10-06T12:04:44Z</dcterms:created>
  <dcterms:modified xmlns:dcterms="http://purl.org/dc/terms/" xmlns:xsi="http://www.w3.org/2001/XMLSchema-instance" xsi:type="dcterms:W3CDTF">2026-10-06T12:07:40Z</dcterms:modified>
</cp:coreProperties>
</file>